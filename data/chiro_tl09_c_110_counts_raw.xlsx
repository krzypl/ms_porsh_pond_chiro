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rzypl\OneDrive - Uniwersytet im. Adama Mickiewicza w Poznaniu\R\github\ms_porsh_pond_chiro\data\"/>
    </mc:Choice>
  </mc:AlternateContent>
  <bookViews>
    <workbookView xWindow="0" yWindow="0" windowWidth="28800" windowHeight="1233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5" i="1" l="1"/>
  <c r="AV5" i="1" s="1"/>
  <c r="BK5" i="1" s="1"/>
  <c r="BN5" i="1" s="1"/>
  <c r="AQ6" i="1"/>
  <c r="AV6" i="1" s="1"/>
  <c r="BK6" i="1" s="1"/>
  <c r="BN6" i="1" s="1"/>
  <c r="AQ7" i="1"/>
  <c r="AV7" i="1" s="1"/>
  <c r="BK7" i="1" s="1"/>
  <c r="BN7" i="1" s="1"/>
  <c r="AQ8" i="1"/>
  <c r="AV8" i="1" s="1"/>
  <c r="BK8" i="1" s="1"/>
  <c r="BN8" i="1" s="1"/>
  <c r="AQ9" i="1"/>
  <c r="AV9" i="1" s="1"/>
  <c r="BK9" i="1" s="1"/>
  <c r="BN9" i="1" s="1"/>
  <c r="AQ10" i="1"/>
  <c r="AV10" i="1" s="1"/>
  <c r="BK10" i="1" s="1"/>
  <c r="BN10" i="1" s="1"/>
  <c r="AQ11" i="1"/>
  <c r="AV11" i="1" s="1"/>
  <c r="BK11" i="1" s="1"/>
  <c r="BN11" i="1" s="1"/>
  <c r="AQ12" i="1"/>
  <c r="AV12" i="1" s="1"/>
  <c r="BK12" i="1" s="1"/>
  <c r="BN12" i="1" s="1"/>
  <c r="AQ13" i="1"/>
  <c r="AV13" i="1" s="1"/>
  <c r="BK13" i="1" s="1"/>
  <c r="BN13" i="1" s="1"/>
  <c r="AQ14" i="1"/>
  <c r="AV14" i="1" s="1"/>
  <c r="BK14" i="1" s="1"/>
  <c r="BN14" i="1" s="1"/>
  <c r="AQ15" i="1"/>
  <c r="AV15" i="1" s="1"/>
  <c r="BK15" i="1" s="1"/>
  <c r="BN15" i="1" s="1"/>
  <c r="AQ16" i="1"/>
  <c r="AV16" i="1" s="1"/>
  <c r="BK16" i="1" s="1"/>
  <c r="BN16" i="1" s="1"/>
  <c r="AQ17" i="1"/>
  <c r="AV17" i="1" s="1"/>
  <c r="BK17" i="1" s="1"/>
  <c r="BN17" i="1" s="1"/>
  <c r="AQ18" i="1"/>
  <c r="AV18" i="1" s="1"/>
  <c r="BK18" i="1" s="1"/>
  <c r="BN18" i="1" s="1"/>
  <c r="AQ19" i="1"/>
  <c r="AV19" i="1" s="1"/>
  <c r="BK19" i="1" s="1"/>
  <c r="BN19" i="1" s="1"/>
  <c r="AQ20" i="1"/>
  <c r="AV20" i="1" s="1"/>
  <c r="BK20" i="1" s="1"/>
  <c r="BN20" i="1" s="1"/>
  <c r="AQ21" i="1"/>
  <c r="AV21" i="1" s="1"/>
  <c r="BK21" i="1" s="1"/>
  <c r="BN21" i="1" s="1"/>
  <c r="AQ22" i="1"/>
  <c r="AV22" i="1" s="1"/>
  <c r="AQ23" i="1"/>
  <c r="AV23" i="1" s="1"/>
  <c r="AQ24" i="1"/>
  <c r="AV24" i="1" s="1"/>
  <c r="AQ25" i="1"/>
  <c r="AV25" i="1" s="1"/>
  <c r="BK25" i="1" s="1"/>
  <c r="BN25" i="1" s="1"/>
  <c r="BB24" i="1"/>
  <c r="BB23" i="1"/>
  <c r="BB22" i="1"/>
  <c r="BB4" i="1"/>
  <c r="AQ4" i="1"/>
  <c r="AV4" i="1" s="1"/>
  <c r="BK4" i="1" l="1"/>
  <c r="BN4" i="1" s="1"/>
  <c r="BK24" i="1"/>
  <c r="BN24" i="1" s="1"/>
  <c r="BK23" i="1"/>
  <c r="BN23" i="1" s="1"/>
  <c r="BK22" i="1"/>
  <c r="BN22" i="1" s="1"/>
</calcChain>
</file>

<file path=xl/sharedStrings.xml><?xml version="1.0" encoding="utf-8"?>
<sst xmlns="http://schemas.openxmlformats.org/spreadsheetml/2006/main" count="113" uniqueCount="70">
  <si>
    <t>Oribatidae</t>
  </si>
  <si>
    <t>Ephemeroptera</t>
  </si>
  <si>
    <t>Procladius</t>
  </si>
  <si>
    <t>Cryptochironomus</t>
  </si>
  <si>
    <t>Pagastiella</t>
  </si>
  <si>
    <t>Zavrelia</t>
  </si>
  <si>
    <t>Chironomidae</t>
  </si>
  <si>
    <t>Trichoptera</t>
  </si>
  <si>
    <t>lake_ID</t>
  </si>
  <si>
    <t>core_id</t>
  </si>
  <si>
    <t>depth_from</t>
  </si>
  <si>
    <t>depth_to</t>
  </si>
  <si>
    <t>Ablabesmyia</t>
  </si>
  <si>
    <t>Chironomus anthracinus-type</t>
  </si>
  <si>
    <t>Cladopelma lateralis-type</t>
  </si>
  <si>
    <t>Cladotanytarsus mancus-type</t>
  </si>
  <si>
    <t>Corynoneura edwardsi-type</t>
  </si>
  <si>
    <t>Cricotopus cylindraceus-type</t>
  </si>
  <si>
    <t>Dicrotendipes nervosus-type</t>
  </si>
  <si>
    <t>Endochironomus albipennis-type</t>
  </si>
  <si>
    <t>Glyptotendipes barbipes-type</t>
  </si>
  <si>
    <t>Glyptotendipes pallens-type</t>
  </si>
  <si>
    <t>Heterotrissocladius grimshawi-type</t>
  </si>
  <si>
    <t>Heterotanytarsus</t>
  </si>
  <si>
    <t>Limnophyes</t>
  </si>
  <si>
    <t>Microtendipes pedellus-type</t>
  </si>
  <si>
    <t>Neozavrelia</t>
  </si>
  <si>
    <t>Parachironomus varus-type</t>
  </si>
  <si>
    <t>Paracricotopus</t>
  </si>
  <si>
    <t>Parakiefferiella bathophila-type</t>
  </si>
  <si>
    <t>Parametriocnemus</t>
  </si>
  <si>
    <t>Paratanytarsus austriacus-type</t>
  </si>
  <si>
    <t>Polypedilum nubeculosum-type</t>
  </si>
  <si>
    <t>Psectrocladius septentrionalis-type</t>
  </si>
  <si>
    <t>Psectrocladius sordidellus-type</t>
  </si>
  <si>
    <t>Pseudorthocladius</t>
  </si>
  <si>
    <t>Pseudosmittia</t>
  </si>
  <si>
    <t>Smittia foliacea-type</t>
  </si>
  <si>
    <t>Tanytarsus lactescens-type</t>
  </si>
  <si>
    <t>Tanytarsus mendax-type</t>
  </si>
  <si>
    <t>Tanytarsus pallidicornis-type</t>
  </si>
  <si>
    <t>Cladotanytarsus group A</t>
  </si>
  <si>
    <t>Thienemannimyia-type</t>
  </si>
  <si>
    <t>Tribelos</t>
  </si>
  <si>
    <t>Zalutschia type B</t>
  </si>
  <si>
    <t>Chironomidae sum</t>
  </si>
  <si>
    <t>Ceratopogonidae</t>
  </si>
  <si>
    <t>Mycomyinae</t>
  </si>
  <si>
    <t>Sciaridae</t>
  </si>
  <si>
    <t>Pediciidae</t>
  </si>
  <si>
    <t>Diptera sum</t>
  </si>
  <si>
    <t>Arctopora sp. (Limnephilidae)</t>
  </si>
  <si>
    <t>Ceracela sp. (Leptoceridae)</t>
  </si>
  <si>
    <t>Limnephilus sp. (Limnephilidae)</t>
  </si>
  <si>
    <t>Oecetis sp. (Leptoceridae)</t>
  </si>
  <si>
    <t>Triaenodes sp. (Leptoceridae)</t>
  </si>
  <si>
    <t>Trihoptera sum</t>
  </si>
  <si>
    <t>Formicidae</t>
  </si>
  <si>
    <t>Plecoptera</t>
  </si>
  <si>
    <t>Odonata labrum</t>
  </si>
  <si>
    <t>Megalop</t>
  </si>
  <si>
    <t>Lepidoptera</t>
  </si>
  <si>
    <t>Insecta</t>
  </si>
  <si>
    <t>Araneae</t>
  </si>
  <si>
    <t>Arthropoda</t>
  </si>
  <si>
    <t>Charales oospores</t>
  </si>
  <si>
    <t>TL09</t>
  </si>
  <si>
    <t>TL09_C_110cm</t>
  </si>
  <si>
    <t>Tipulidae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</si>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</sst>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name val="Calibri"/>
    </font>
    <font>
      <sz val="10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8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0" fillId="5" borderId="0" xfId="0" applyFill="1"/>
    <xf numFmtId="0" fontId="0" fillId="6" borderId="0" xfId="0" applyFill="1"/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/>
    <xf numFmtId="0" fontId="0" fillId="8" borderId="0" xfId="0" applyFill="1"/>
    <xf numFmtId="164" fontId="0" fillId="8" borderId="0" xfId="0" applyNumberFormat="1" applyFill="1"/>
    <xf numFmtId="0" fontId="0" fillId="0" borderId="0" xfId="0" applyFill="1"/>
    <xf numFmtId="0" fontId="5" fillId="2" borderId="0" xfId="0" applyFont="1" applyFill="1" applyAlignment="1">
      <alignment vertical="center"/>
    </xf>
    <xf numFmtId="0" fontId="3" fillId="8" borderId="0" xfId="0" applyFont="1" applyFill="1"/>
    <xf numFmtId="0" fontId="3" fillId="0" borderId="0" xfId="0" applyFont="1"/>
    <xf numFmtId="0" fontId="6" fillId="0" borderId="0" xfId="0" applyFont="1" applyBorder="1" applyAlignment="1">
      <alignment horizontal="center" vertical="top"/>
    </xf>
    <xf numFmtId="0" fontId="3" fillId="0" borderId="0" xfId="0" applyFont="1" applyBorder="1"/>
    <xf numFmtId="164" fontId="0" fillId="0" borderId="0" xfId="0" applyNumberFormat="1" applyFill="1"/>
    <xf numFmtId="0" fontId="3" fillId="0" borderId="0" xfId="0" applyFont="1" applyFill="1"/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top"/>
    </xf>
    <xf numFmtId="0" fontId="0" fillId="0" borderId="0" xfId="0" applyFill="1" applyBorder="1"/>
    <xf numFmtId="0" fontId="1" fillId="2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"/>
  <sheetViews>
    <sheetView tabSelected="1" zoomScale="70" zoomScaleNormal="70" workbookViewId="0">
      <selection activeCell="E4" sqref="E4"/>
    </sheetView>
  </sheetViews>
  <sheetFormatPr defaultRowHeight="15" x14ac:dyDescent="0.25"/>
  <cols>
    <col min="1" max="1" width="8.85546875" style="26" customWidth="1"/>
    <col min="2" max="2" width="18.7109375" customWidth="1"/>
    <col min="3" max="9" width="8.85546875" customWidth="1"/>
    <col min="10" max="10" width="7.7109375" customWidth="1"/>
    <col min="11" max="11" width="6" customWidth="1"/>
    <col min="12" max="12" width="5.7109375" customWidth="1"/>
    <col min="13" max="13" width="7" customWidth="1"/>
    <col min="14" max="15" width="8.85546875" customWidth="1"/>
    <col min="16" max="16" width="7.5703125" customWidth="1"/>
    <col min="17" max="18" width="8.85546875" customWidth="1"/>
    <col min="19" max="19" width="6.7109375" customWidth="1"/>
    <col min="20" max="20" width="6.42578125" customWidth="1"/>
    <col min="21" max="22" width="8.85546875" customWidth="1"/>
    <col min="23" max="23" width="7.28515625" customWidth="1"/>
    <col min="24" max="24" width="8.85546875" customWidth="1"/>
    <col min="25" max="25" width="6.7109375" customWidth="1"/>
    <col min="26" max="29" width="8.85546875" customWidth="1"/>
    <col min="30" max="31" width="6.85546875" customWidth="1"/>
    <col min="32" max="33" width="6.28515625" customWidth="1"/>
    <col min="34" max="36" width="8.85546875" customWidth="1"/>
    <col min="37" max="37" width="6" customWidth="1"/>
    <col min="38" max="39" width="8.85546875" customWidth="1"/>
    <col min="40" max="40" width="6.7109375" customWidth="1"/>
    <col min="41" max="41" width="8.85546875" customWidth="1"/>
    <col min="42" max="42" width="8.85546875" style="29" customWidth="1"/>
    <col min="43" max="43" width="5.42578125" customWidth="1"/>
    <col min="44" max="44" width="5.28515625" customWidth="1"/>
    <col min="45" max="48" width="8.85546875" customWidth="1"/>
    <col min="49" max="50" width="5.7109375" customWidth="1"/>
    <col min="51" max="51" width="5.42578125" customWidth="1"/>
    <col min="52" max="68" width="8.85546875" customWidth="1"/>
  </cols>
  <sheetData>
    <row r="1" spans="1:69" s="1" customFormat="1" ht="12.75" x14ac:dyDescent="0.25">
      <c r="A1" s="3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7"/>
      <c r="AQ1" s="3"/>
      <c r="AR1" s="3"/>
      <c r="AS1" s="3"/>
      <c r="AT1" s="3"/>
      <c r="AU1" s="3"/>
      <c r="AV1" s="4"/>
      <c r="AW1" s="2"/>
      <c r="AX1" s="2"/>
      <c r="AY1" s="2"/>
      <c r="AZ1" s="2"/>
      <c r="BA1" s="2"/>
      <c r="BB1" s="3"/>
      <c r="BC1" s="3"/>
      <c r="BD1" s="3"/>
      <c r="BE1" s="3"/>
      <c r="BF1" s="3"/>
      <c r="BG1" s="3"/>
      <c r="BH1" s="3"/>
      <c r="BI1" s="3"/>
      <c r="BJ1" s="3"/>
      <c r="BK1" s="5"/>
      <c r="BL1" s="5"/>
      <c r="BM1" s="5"/>
      <c r="BN1" s="6"/>
      <c r="BO1" s="7"/>
    </row>
    <row r="2" spans="1:69" s="1" customFormat="1" ht="12.75" x14ac:dyDescent="0.25">
      <c r="A2" s="34"/>
      <c r="F2" s="38" t="s">
        <v>6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"/>
      <c r="AR2" s="3"/>
      <c r="AS2" s="3"/>
      <c r="AT2" s="3"/>
      <c r="AU2" s="3"/>
      <c r="AV2" s="4"/>
      <c r="AW2" s="38" t="s">
        <v>7</v>
      </c>
      <c r="AX2" s="38"/>
      <c r="AY2" s="38"/>
      <c r="AZ2" s="38"/>
      <c r="BA2" s="38"/>
      <c r="BB2" s="8"/>
      <c r="BC2" s="3"/>
      <c r="BD2" s="3"/>
      <c r="BE2" s="3"/>
      <c r="BF2" s="3"/>
      <c r="BG2" s="3"/>
      <c r="BH2" s="3"/>
      <c r="BJ2" s="3"/>
      <c r="BK2" s="5"/>
      <c r="BL2" s="5"/>
      <c r="BM2" s="5"/>
      <c r="BN2" s="6"/>
      <c r="BO2" s="7"/>
    </row>
    <row r="3" spans="1:69" s="1" customFormat="1" x14ac:dyDescent="0.25">
      <c r="A3" s="35" t="s">
        <v>8</v>
      </c>
      <c r="B3" s="9" t="s">
        <v>9</v>
      </c>
      <c r="C3" s="9" t="s">
        <v>10</v>
      </c>
      <c r="D3" s="9" t="s">
        <v>11</v>
      </c>
      <c r="E3" s="9" t="s">
        <v>69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3</v>
      </c>
      <c r="M3" s="10" t="s">
        <v>18</v>
      </c>
      <c r="N3" s="10" t="s">
        <v>19</v>
      </c>
      <c r="O3" s="10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0" t="s">
        <v>25</v>
      </c>
      <c r="U3" s="10" t="s">
        <v>26</v>
      </c>
      <c r="V3" s="10" t="s">
        <v>4</v>
      </c>
      <c r="W3" s="10" t="s">
        <v>27</v>
      </c>
      <c r="X3" s="10" t="s">
        <v>28</v>
      </c>
      <c r="Y3" s="10" t="s">
        <v>29</v>
      </c>
      <c r="Z3" s="10" t="s">
        <v>30</v>
      </c>
      <c r="AA3" s="10" t="s">
        <v>31</v>
      </c>
      <c r="AB3" s="10" t="s">
        <v>32</v>
      </c>
      <c r="AC3" s="10" t="s">
        <v>2</v>
      </c>
      <c r="AD3" s="10" t="s">
        <v>33</v>
      </c>
      <c r="AE3" s="10" t="s">
        <v>34</v>
      </c>
      <c r="AF3" s="10" t="s">
        <v>35</v>
      </c>
      <c r="AG3" s="10" t="s">
        <v>36</v>
      </c>
      <c r="AH3" s="2" t="s">
        <v>37</v>
      </c>
      <c r="AI3" s="2" t="s">
        <v>38</v>
      </c>
      <c r="AJ3" s="2" t="s">
        <v>39</v>
      </c>
      <c r="AK3" s="2" t="s">
        <v>40</v>
      </c>
      <c r="AL3" s="2" t="s">
        <v>41</v>
      </c>
      <c r="AM3" s="2" t="s">
        <v>42</v>
      </c>
      <c r="AN3" s="2" t="s">
        <v>43</v>
      </c>
      <c r="AO3" s="2" t="s">
        <v>44</v>
      </c>
      <c r="AP3" s="27" t="s">
        <v>5</v>
      </c>
      <c r="AQ3" s="3" t="s">
        <v>45</v>
      </c>
      <c r="AR3" s="11" t="s">
        <v>46</v>
      </c>
      <c r="AS3" s="11" t="s">
        <v>47</v>
      </c>
      <c r="AT3" s="11" t="s">
        <v>48</v>
      </c>
      <c r="AU3" s="12" t="s">
        <v>49</v>
      </c>
      <c r="AV3" s="13" t="s">
        <v>50</v>
      </c>
      <c r="AW3" s="10" t="s">
        <v>51</v>
      </c>
      <c r="AX3" s="10" t="s">
        <v>52</v>
      </c>
      <c r="AY3" s="10" t="s">
        <v>53</v>
      </c>
      <c r="AZ3" s="10" t="s">
        <v>54</v>
      </c>
      <c r="BA3" s="2" t="s">
        <v>55</v>
      </c>
      <c r="BB3" s="3" t="s">
        <v>56</v>
      </c>
      <c r="BC3" s="14" t="s">
        <v>57</v>
      </c>
      <c r="BD3" s="14" t="s">
        <v>58</v>
      </c>
      <c r="BE3" s="14" t="s">
        <v>59</v>
      </c>
      <c r="BF3" s="14" t="s">
        <v>60</v>
      </c>
      <c r="BG3" s="14" t="s">
        <v>1</v>
      </c>
      <c r="BH3" s="14" t="s">
        <v>61</v>
      </c>
      <c r="BI3" s="3" t="s">
        <v>68</v>
      </c>
      <c r="BJ3" s="3" t="s">
        <v>7</v>
      </c>
      <c r="BK3" s="5" t="s">
        <v>62</v>
      </c>
      <c r="BL3" s="15" t="s">
        <v>0</v>
      </c>
      <c r="BM3" s="15" t="s">
        <v>63</v>
      </c>
      <c r="BN3" s="16" t="s">
        <v>64</v>
      </c>
      <c r="BO3" s="17" t="s">
        <v>65</v>
      </c>
      <c r="BQ3"/>
    </row>
    <row r="4" spans="1:69" s="24" customFormat="1" x14ac:dyDescent="0.25">
      <c r="A4" s="26" t="s">
        <v>66</v>
      </c>
      <c r="B4" s="24" t="s">
        <v>67</v>
      </c>
      <c r="C4" s="25">
        <v>0</v>
      </c>
      <c r="D4" s="25">
        <v>0.5</v>
      </c>
      <c r="E4" s="24">
        <v>3</v>
      </c>
      <c r="F4" s="24">
        <v>7</v>
      </c>
      <c r="G4" s="24">
        <v>14</v>
      </c>
      <c r="H4" s="24">
        <v>1</v>
      </c>
      <c r="I4" s="24">
        <v>11</v>
      </c>
      <c r="J4" s="24">
        <v>9</v>
      </c>
      <c r="K4" s="24">
        <v>2</v>
      </c>
      <c r="L4" s="24">
        <v>3</v>
      </c>
      <c r="M4" s="24">
        <v>1</v>
      </c>
      <c r="N4" s="24">
        <v>4</v>
      </c>
      <c r="R4" s="24">
        <v>1</v>
      </c>
      <c r="S4" s="24">
        <v>9</v>
      </c>
      <c r="T4" s="24">
        <v>13</v>
      </c>
      <c r="U4" s="24">
        <v>3</v>
      </c>
      <c r="X4" s="24">
        <v>3</v>
      </c>
      <c r="Y4" s="24">
        <v>3</v>
      </c>
      <c r="Z4" s="24">
        <v>3</v>
      </c>
      <c r="AA4" s="24">
        <v>15</v>
      </c>
      <c r="AB4" s="24">
        <v>9</v>
      </c>
      <c r="AC4" s="24">
        <v>10</v>
      </c>
      <c r="AE4" s="24">
        <v>2</v>
      </c>
      <c r="AH4" s="24">
        <v>1</v>
      </c>
      <c r="AI4" s="24">
        <v>1</v>
      </c>
      <c r="AJ4" s="24">
        <v>16</v>
      </c>
      <c r="AK4" s="24">
        <v>14</v>
      </c>
      <c r="AL4" s="24">
        <v>2</v>
      </c>
      <c r="AM4" s="24">
        <v>2</v>
      </c>
      <c r="AN4" s="24">
        <v>1</v>
      </c>
      <c r="AO4" s="24">
        <v>1</v>
      </c>
      <c r="AP4" s="28"/>
      <c r="AQ4" s="24">
        <f t="shared" ref="AQ4:AQ25" si="0">SUM(F4:AP4)</f>
        <v>161</v>
      </c>
      <c r="AR4" s="24">
        <v>7</v>
      </c>
      <c r="AT4" s="24">
        <v>3</v>
      </c>
      <c r="AV4" s="24">
        <f>SUM(AQ4:AU4)</f>
        <v>171</v>
      </c>
      <c r="AX4" s="24">
        <v>8</v>
      </c>
      <c r="AY4" s="24">
        <v>3</v>
      </c>
      <c r="BB4" s="24">
        <f>SUM(AW4:BA4)</f>
        <v>11</v>
      </c>
      <c r="BF4" s="24">
        <v>1</v>
      </c>
      <c r="BG4" s="24">
        <v>5</v>
      </c>
      <c r="BH4" s="24">
        <v>1</v>
      </c>
      <c r="BJ4" s="24">
        <v>1</v>
      </c>
      <c r="BK4" s="18">
        <f t="shared" ref="BK4:BK25" si="1">SUM(BB4:BJ4,AV4)</f>
        <v>190</v>
      </c>
      <c r="BL4" s="24">
        <v>22</v>
      </c>
      <c r="BN4" s="19">
        <f t="shared" ref="BN4:BN25" si="2">SUM(BK4:BM4)</f>
        <v>212</v>
      </c>
      <c r="BO4" s="24">
        <v>2</v>
      </c>
    </row>
    <row r="5" spans="1:69" x14ac:dyDescent="0.25">
      <c r="A5" s="26" t="s">
        <v>66</v>
      </c>
      <c r="B5" t="s">
        <v>67</v>
      </c>
      <c r="C5" s="23">
        <v>0.5</v>
      </c>
      <c r="D5" s="23">
        <v>2.5</v>
      </c>
      <c r="E5">
        <v>2</v>
      </c>
      <c r="G5">
        <v>1</v>
      </c>
      <c r="I5">
        <v>6</v>
      </c>
      <c r="L5">
        <v>1</v>
      </c>
      <c r="S5">
        <v>4</v>
      </c>
      <c r="T5">
        <v>6</v>
      </c>
      <c r="V5">
        <v>1</v>
      </c>
      <c r="Z5">
        <v>1</v>
      </c>
      <c r="AA5">
        <v>3</v>
      </c>
      <c r="AB5">
        <v>8</v>
      </c>
      <c r="AC5">
        <v>1</v>
      </c>
      <c r="AE5">
        <v>1</v>
      </c>
      <c r="AF5">
        <v>1</v>
      </c>
      <c r="AL5">
        <v>1</v>
      </c>
      <c r="AQ5" s="24">
        <f t="shared" si="0"/>
        <v>35</v>
      </c>
      <c r="AV5" s="24">
        <f t="shared" ref="AV5:AV25" si="3">SUM(AQ5:AU5)</f>
        <v>35</v>
      </c>
      <c r="AZ5">
        <v>1</v>
      </c>
      <c r="BK5" s="18">
        <f t="shared" si="1"/>
        <v>35</v>
      </c>
      <c r="BL5">
        <v>8</v>
      </c>
      <c r="BN5" s="19">
        <f t="shared" si="2"/>
        <v>43</v>
      </c>
    </row>
    <row r="6" spans="1:69" x14ac:dyDescent="0.25">
      <c r="A6" s="26" t="s">
        <v>66</v>
      </c>
      <c r="B6" t="s">
        <v>67</v>
      </c>
      <c r="C6" s="23">
        <v>2.5</v>
      </c>
      <c r="D6" s="23">
        <v>4.5</v>
      </c>
      <c r="E6">
        <v>2</v>
      </c>
      <c r="I6">
        <v>7</v>
      </c>
      <c r="L6">
        <v>1</v>
      </c>
      <c r="M6">
        <v>2</v>
      </c>
      <c r="O6">
        <v>2</v>
      </c>
      <c r="P6">
        <v>1</v>
      </c>
      <c r="Q6">
        <v>4</v>
      </c>
      <c r="S6">
        <v>2</v>
      </c>
      <c r="T6">
        <v>9</v>
      </c>
      <c r="Z6">
        <v>3</v>
      </c>
      <c r="AA6">
        <v>5</v>
      </c>
      <c r="AJ6">
        <v>5</v>
      </c>
      <c r="AK6">
        <v>2</v>
      </c>
      <c r="AL6">
        <v>1</v>
      </c>
      <c r="AQ6" s="24">
        <f t="shared" si="0"/>
        <v>44</v>
      </c>
      <c r="AR6">
        <v>1</v>
      </c>
      <c r="AT6">
        <v>1</v>
      </c>
      <c r="AV6" s="24">
        <f t="shared" si="3"/>
        <v>46</v>
      </c>
      <c r="BD6">
        <v>1</v>
      </c>
      <c r="BG6">
        <v>1</v>
      </c>
      <c r="BK6" s="18">
        <f t="shared" si="1"/>
        <v>48</v>
      </c>
      <c r="BL6">
        <v>26</v>
      </c>
      <c r="BN6" s="19">
        <f t="shared" si="2"/>
        <v>74</v>
      </c>
    </row>
    <row r="7" spans="1:69" x14ac:dyDescent="0.25">
      <c r="A7" s="26" t="s">
        <v>66</v>
      </c>
      <c r="B7" t="s">
        <v>67</v>
      </c>
      <c r="C7" s="23">
        <v>4.5</v>
      </c>
      <c r="D7" s="23">
        <v>6.5</v>
      </c>
      <c r="E7">
        <v>2</v>
      </c>
      <c r="I7">
        <v>7</v>
      </c>
      <c r="J7">
        <v>2</v>
      </c>
      <c r="L7">
        <v>2</v>
      </c>
      <c r="M7">
        <v>4</v>
      </c>
      <c r="O7">
        <v>2</v>
      </c>
      <c r="P7">
        <v>1</v>
      </c>
      <c r="Q7">
        <v>2</v>
      </c>
      <c r="S7">
        <v>6</v>
      </c>
      <c r="T7">
        <v>6</v>
      </c>
      <c r="Z7">
        <v>1</v>
      </c>
      <c r="AA7">
        <v>8</v>
      </c>
      <c r="AB7">
        <v>6</v>
      </c>
      <c r="AF7">
        <v>2</v>
      </c>
      <c r="AG7">
        <v>4</v>
      </c>
      <c r="AH7">
        <v>1</v>
      </c>
      <c r="AJ7">
        <v>6</v>
      </c>
      <c r="AK7">
        <v>7</v>
      </c>
      <c r="AL7">
        <v>3</v>
      </c>
      <c r="AM7">
        <v>1</v>
      </c>
      <c r="AQ7" s="24">
        <f t="shared" si="0"/>
        <v>71</v>
      </c>
      <c r="AR7">
        <v>5</v>
      </c>
      <c r="AT7">
        <v>4</v>
      </c>
      <c r="AV7" s="24">
        <f t="shared" si="3"/>
        <v>80</v>
      </c>
      <c r="AY7">
        <v>2</v>
      </c>
      <c r="BD7">
        <v>1</v>
      </c>
      <c r="BG7">
        <v>2</v>
      </c>
      <c r="BJ7">
        <v>1</v>
      </c>
      <c r="BK7" s="18">
        <f t="shared" si="1"/>
        <v>84</v>
      </c>
      <c r="BL7">
        <v>30</v>
      </c>
      <c r="BN7" s="19">
        <f t="shared" si="2"/>
        <v>114</v>
      </c>
    </row>
    <row r="8" spans="1:69" x14ac:dyDescent="0.25">
      <c r="A8" s="26" t="s">
        <v>66</v>
      </c>
      <c r="B8" t="s">
        <v>67</v>
      </c>
      <c r="C8" s="23">
        <v>6.5</v>
      </c>
      <c r="D8" s="23">
        <v>8.5</v>
      </c>
      <c r="E8">
        <v>2</v>
      </c>
      <c r="G8">
        <v>1</v>
      </c>
      <c r="H8">
        <v>1</v>
      </c>
      <c r="I8">
        <v>3</v>
      </c>
      <c r="M8">
        <v>3</v>
      </c>
      <c r="T8">
        <v>1</v>
      </c>
      <c r="AA8">
        <v>2</v>
      </c>
      <c r="AB8">
        <v>9</v>
      </c>
      <c r="AH8">
        <v>1</v>
      </c>
      <c r="AJ8">
        <v>5</v>
      </c>
      <c r="AK8">
        <v>1</v>
      </c>
      <c r="AL8">
        <v>3</v>
      </c>
      <c r="AQ8" s="24">
        <f t="shared" si="0"/>
        <v>30</v>
      </c>
      <c r="AR8">
        <v>1</v>
      </c>
      <c r="AV8" s="24">
        <f t="shared" si="3"/>
        <v>31</v>
      </c>
      <c r="AY8">
        <v>1</v>
      </c>
      <c r="BK8" s="18">
        <f t="shared" si="1"/>
        <v>31</v>
      </c>
      <c r="BL8">
        <v>13</v>
      </c>
      <c r="BN8" s="19">
        <f t="shared" si="2"/>
        <v>44</v>
      </c>
    </row>
    <row r="9" spans="1:69" x14ac:dyDescent="0.25">
      <c r="A9" s="26" t="s">
        <v>66</v>
      </c>
      <c r="B9" t="s">
        <v>67</v>
      </c>
      <c r="C9" s="23">
        <v>8.5</v>
      </c>
      <c r="D9" s="23">
        <v>10.5</v>
      </c>
      <c r="E9">
        <v>2</v>
      </c>
      <c r="G9">
        <v>1</v>
      </c>
      <c r="I9">
        <v>16</v>
      </c>
      <c r="J9">
        <v>2</v>
      </c>
      <c r="L9">
        <v>1</v>
      </c>
      <c r="M9">
        <v>2</v>
      </c>
      <c r="P9">
        <v>2</v>
      </c>
      <c r="T9">
        <v>12</v>
      </c>
      <c r="AA9">
        <v>6</v>
      </c>
      <c r="AB9">
        <v>8</v>
      </c>
      <c r="AE9">
        <v>1</v>
      </c>
      <c r="AF9">
        <v>2</v>
      </c>
      <c r="AJ9">
        <v>16</v>
      </c>
      <c r="AK9">
        <v>6</v>
      </c>
      <c r="AL9">
        <v>3</v>
      </c>
      <c r="AQ9" s="24">
        <f t="shared" si="0"/>
        <v>78</v>
      </c>
      <c r="AR9">
        <v>1</v>
      </c>
      <c r="AT9">
        <v>1</v>
      </c>
      <c r="AV9" s="24">
        <f t="shared" si="3"/>
        <v>80</v>
      </c>
      <c r="AZ9">
        <v>1</v>
      </c>
      <c r="BK9" s="18">
        <f t="shared" si="1"/>
        <v>80</v>
      </c>
      <c r="BL9">
        <v>7</v>
      </c>
      <c r="BN9" s="19">
        <f t="shared" si="2"/>
        <v>87</v>
      </c>
    </row>
    <row r="10" spans="1:69" x14ac:dyDescent="0.25">
      <c r="A10" s="26" t="s">
        <v>66</v>
      </c>
      <c r="B10" t="s">
        <v>67</v>
      </c>
      <c r="C10" s="23">
        <v>10.5</v>
      </c>
      <c r="D10" s="23">
        <v>12.5</v>
      </c>
      <c r="E10">
        <v>2</v>
      </c>
      <c r="I10">
        <v>3</v>
      </c>
      <c r="M10">
        <v>1</v>
      </c>
      <c r="S10">
        <v>1</v>
      </c>
      <c r="T10">
        <v>9</v>
      </c>
      <c r="X10">
        <v>1</v>
      </c>
      <c r="AA10">
        <v>2</v>
      </c>
      <c r="AB10">
        <v>3</v>
      </c>
      <c r="AJ10">
        <v>7</v>
      </c>
      <c r="AK10">
        <v>2</v>
      </c>
      <c r="AL10">
        <v>1</v>
      </c>
      <c r="AQ10" s="24">
        <f t="shared" si="0"/>
        <v>30</v>
      </c>
      <c r="AV10" s="24">
        <f t="shared" si="3"/>
        <v>30</v>
      </c>
      <c r="AZ10">
        <v>4</v>
      </c>
      <c r="BH10">
        <v>1</v>
      </c>
      <c r="BJ10">
        <v>2</v>
      </c>
      <c r="BK10" s="18">
        <f t="shared" si="1"/>
        <v>33</v>
      </c>
      <c r="BL10">
        <v>9</v>
      </c>
      <c r="BN10" s="19">
        <f t="shared" si="2"/>
        <v>42</v>
      </c>
      <c r="BO10">
        <v>6</v>
      </c>
    </row>
    <row r="11" spans="1:69" x14ac:dyDescent="0.25">
      <c r="A11" s="26" t="s">
        <v>66</v>
      </c>
      <c r="B11" t="s">
        <v>67</v>
      </c>
      <c r="C11" s="23">
        <v>12.5</v>
      </c>
      <c r="D11" s="23">
        <v>14.5</v>
      </c>
      <c r="E11">
        <v>2</v>
      </c>
      <c r="G11">
        <v>2</v>
      </c>
      <c r="H11">
        <v>2</v>
      </c>
      <c r="I11">
        <v>7</v>
      </c>
      <c r="J11">
        <v>3</v>
      </c>
      <c r="K11">
        <v>1</v>
      </c>
      <c r="M11">
        <v>2</v>
      </c>
      <c r="P11">
        <v>2</v>
      </c>
      <c r="Q11">
        <v>2</v>
      </c>
      <c r="T11">
        <v>7</v>
      </c>
      <c r="Z11">
        <v>2</v>
      </c>
      <c r="AA11">
        <v>4</v>
      </c>
      <c r="AB11">
        <v>1</v>
      </c>
      <c r="AD11">
        <v>1</v>
      </c>
      <c r="AF11">
        <v>1</v>
      </c>
      <c r="AG11">
        <v>1</v>
      </c>
      <c r="AJ11">
        <v>4</v>
      </c>
      <c r="AK11">
        <v>3</v>
      </c>
      <c r="AL11">
        <v>2</v>
      </c>
      <c r="AQ11" s="24">
        <f t="shared" si="0"/>
        <v>47</v>
      </c>
      <c r="AV11" s="24">
        <f t="shared" si="3"/>
        <v>47</v>
      </c>
      <c r="AZ11">
        <v>1</v>
      </c>
      <c r="BK11" s="18">
        <f t="shared" si="1"/>
        <v>47</v>
      </c>
      <c r="BL11">
        <v>7</v>
      </c>
      <c r="BN11" s="19">
        <f t="shared" si="2"/>
        <v>54</v>
      </c>
    </row>
    <row r="12" spans="1:69" x14ac:dyDescent="0.25">
      <c r="A12" s="26" t="s">
        <v>66</v>
      </c>
      <c r="B12" t="s">
        <v>67</v>
      </c>
      <c r="C12" s="23">
        <v>14.5</v>
      </c>
      <c r="D12" s="23">
        <v>16.5</v>
      </c>
      <c r="E12">
        <v>2</v>
      </c>
      <c r="H12">
        <v>3</v>
      </c>
      <c r="I12">
        <v>11</v>
      </c>
      <c r="J12">
        <v>2</v>
      </c>
      <c r="K12">
        <v>1</v>
      </c>
      <c r="M12">
        <v>11</v>
      </c>
      <c r="N12">
        <v>2</v>
      </c>
      <c r="P12">
        <v>1</v>
      </c>
      <c r="S12">
        <v>5</v>
      </c>
      <c r="T12">
        <v>11</v>
      </c>
      <c r="V12">
        <v>5</v>
      </c>
      <c r="Y12">
        <v>1</v>
      </c>
      <c r="Z12">
        <v>7</v>
      </c>
      <c r="AA12">
        <v>5</v>
      </c>
      <c r="AB12">
        <v>8</v>
      </c>
      <c r="AD12">
        <v>1</v>
      </c>
      <c r="AF12">
        <v>2</v>
      </c>
      <c r="AJ12">
        <v>10</v>
      </c>
      <c r="AK12">
        <v>3</v>
      </c>
      <c r="AL12">
        <v>3</v>
      </c>
      <c r="AQ12" s="24">
        <f t="shared" si="0"/>
        <v>92</v>
      </c>
      <c r="AR12">
        <v>1</v>
      </c>
      <c r="AV12" s="24">
        <f t="shared" si="3"/>
        <v>93</v>
      </c>
      <c r="AZ12">
        <v>3</v>
      </c>
      <c r="BC12">
        <v>1</v>
      </c>
      <c r="BD12">
        <v>1</v>
      </c>
      <c r="BJ12">
        <v>1</v>
      </c>
      <c r="BK12" s="18">
        <f t="shared" si="1"/>
        <v>96</v>
      </c>
      <c r="BL12">
        <v>25</v>
      </c>
      <c r="BN12" s="19">
        <f t="shared" si="2"/>
        <v>121</v>
      </c>
    </row>
    <row r="13" spans="1:69" x14ac:dyDescent="0.25">
      <c r="A13" s="26" t="s">
        <v>66</v>
      </c>
      <c r="B13" t="s">
        <v>67</v>
      </c>
      <c r="C13" s="23">
        <v>16.5</v>
      </c>
      <c r="D13" s="23">
        <v>18.5</v>
      </c>
      <c r="E13">
        <v>2</v>
      </c>
      <c r="F13">
        <v>3</v>
      </c>
      <c r="G13">
        <v>11</v>
      </c>
      <c r="I13">
        <v>9</v>
      </c>
      <c r="J13">
        <v>4</v>
      </c>
      <c r="K13">
        <v>3</v>
      </c>
      <c r="L13">
        <v>2</v>
      </c>
      <c r="T13">
        <v>17</v>
      </c>
      <c r="W13">
        <v>1</v>
      </c>
      <c r="X13">
        <v>1</v>
      </c>
      <c r="Z13">
        <v>2</v>
      </c>
      <c r="AA13">
        <v>1</v>
      </c>
      <c r="AC13">
        <v>2</v>
      </c>
      <c r="AJ13">
        <v>18</v>
      </c>
      <c r="AK13">
        <v>7</v>
      </c>
      <c r="AL13">
        <v>1</v>
      </c>
      <c r="AP13" s="29">
        <v>2</v>
      </c>
      <c r="AQ13" s="24">
        <f t="shared" si="0"/>
        <v>84</v>
      </c>
      <c r="AV13" s="24">
        <f t="shared" si="3"/>
        <v>84</v>
      </c>
      <c r="AZ13">
        <v>1</v>
      </c>
      <c r="BE13">
        <v>2</v>
      </c>
      <c r="BF13">
        <v>2</v>
      </c>
      <c r="BG13">
        <v>3</v>
      </c>
      <c r="BH13">
        <v>1</v>
      </c>
      <c r="BJ13">
        <v>2</v>
      </c>
      <c r="BK13" s="18">
        <f t="shared" si="1"/>
        <v>94</v>
      </c>
      <c r="BL13">
        <v>3</v>
      </c>
      <c r="BN13" s="19">
        <f t="shared" si="2"/>
        <v>97</v>
      </c>
    </row>
    <row r="14" spans="1:69" x14ac:dyDescent="0.25">
      <c r="A14" s="26" t="s">
        <v>66</v>
      </c>
      <c r="B14" t="s">
        <v>67</v>
      </c>
      <c r="C14" s="23">
        <v>18.5</v>
      </c>
      <c r="D14" s="23">
        <v>20.5</v>
      </c>
      <c r="E14">
        <v>2</v>
      </c>
      <c r="F14">
        <v>2</v>
      </c>
      <c r="G14">
        <v>3</v>
      </c>
      <c r="I14">
        <v>20</v>
      </c>
      <c r="J14">
        <v>4</v>
      </c>
      <c r="K14">
        <v>1</v>
      </c>
      <c r="L14">
        <v>2</v>
      </c>
      <c r="M14">
        <v>7</v>
      </c>
      <c r="S14">
        <v>8</v>
      </c>
      <c r="T14">
        <v>18</v>
      </c>
      <c r="U14">
        <v>2</v>
      </c>
      <c r="V14">
        <v>1</v>
      </c>
      <c r="X14">
        <v>1</v>
      </c>
      <c r="Y14">
        <v>1</v>
      </c>
      <c r="AA14">
        <v>9</v>
      </c>
      <c r="AB14">
        <v>9</v>
      </c>
      <c r="AC14">
        <v>2</v>
      </c>
      <c r="AF14">
        <v>1</v>
      </c>
      <c r="AG14">
        <v>1</v>
      </c>
      <c r="AJ14">
        <v>24</v>
      </c>
      <c r="AK14">
        <v>9</v>
      </c>
      <c r="AL14">
        <v>1</v>
      </c>
      <c r="AP14" s="29">
        <v>6</v>
      </c>
      <c r="AQ14" s="24">
        <f t="shared" si="0"/>
        <v>132</v>
      </c>
      <c r="AR14">
        <v>1</v>
      </c>
      <c r="AV14" s="24">
        <f t="shared" si="3"/>
        <v>133</v>
      </c>
      <c r="BD14">
        <v>1</v>
      </c>
      <c r="BH14">
        <v>2</v>
      </c>
      <c r="BK14" s="18">
        <f t="shared" si="1"/>
        <v>136</v>
      </c>
      <c r="BL14">
        <v>4</v>
      </c>
      <c r="BN14" s="19">
        <f t="shared" si="2"/>
        <v>140</v>
      </c>
      <c r="BO14">
        <v>3</v>
      </c>
    </row>
    <row r="15" spans="1:69" x14ac:dyDescent="0.25">
      <c r="A15" s="26" t="s">
        <v>66</v>
      </c>
      <c r="B15" t="s">
        <v>67</v>
      </c>
      <c r="C15" s="23">
        <v>20.5</v>
      </c>
      <c r="D15" s="23">
        <v>22.5</v>
      </c>
      <c r="E15">
        <v>2</v>
      </c>
      <c r="I15">
        <v>1</v>
      </c>
      <c r="K15">
        <v>1</v>
      </c>
      <c r="M15">
        <v>2</v>
      </c>
      <c r="Q15">
        <v>1</v>
      </c>
      <c r="S15">
        <v>9</v>
      </c>
      <c r="T15">
        <v>3</v>
      </c>
      <c r="U15">
        <v>1</v>
      </c>
      <c r="Z15">
        <v>1</v>
      </c>
      <c r="AA15">
        <v>7</v>
      </c>
      <c r="AB15">
        <v>3</v>
      </c>
      <c r="AF15">
        <v>1</v>
      </c>
      <c r="AG15">
        <v>2</v>
      </c>
      <c r="AJ15">
        <v>2</v>
      </c>
      <c r="AK15">
        <v>1</v>
      </c>
      <c r="AL15">
        <v>2</v>
      </c>
      <c r="AP15" s="29">
        <v>1</v>
      </c>
      <c r="AQ15" s="24">
        <f t="shared" si="0"/>
        <v>38</v>
      </c>
      <c r="AR15">
        <v>2</v>
      </c>
      <c r="AT15">
        <v>1</v>
      </c>
      <c r="AV15" s="24">
        <f t="shared" si="3"/>
        <v>41</v>
      </c>
      <c r="AZ15">
        <v>1</v>
      </c>
      <c r="BH15">
        <v>1</v>
      </c>
      <c r="BK15" s="18">
        <f t="shared" si="1"/>
        <v>42</v>
      </c>
      <c r="BL15">
        <v>8</v>
      </c>
      <c r="BN15" s="19">
        <f t="shared" si="2"/>
        <v>50</v>
      </c>
      <c r="BO15">
        <v>1</v>
      </c>
    </row>
    <row r="16" spans="1:69" x14ac:dyDescent="0.25">
      <c r="A16" s="26" t="s">
        <v>66</v>
      </c>
      <c r="B16" t="s">
        <v>67</v>
      </c>
      <c r="C16" s="23">
        <v>22.5</v>
      </c>
      <c r="D16" s="23">
        <v>24.5</v>
      </c>
      <c r="E16">
        <v>2</v>
      </c>
      <c r="F16">
        <v>2</v>
      </c>
      <c r="G16">
        <v>7</v>
      </c>
      <c r="I16">
        <v>10</v>
      </c>
      <c r="J16">
        <v>1</v>
      </c>
      <c r="L16">
        <v>5</v>
      </c>
      <c r="M16">
        <v>7</v>
      </c>
      <c r="N16">
        <v>1</v>
      </c>
      <c r="O16">
        <v>1</v>
      </c>
      <c r="P16">
        <v>2</v>
      </c>
      <c r="Q16">
        <v>1</v>
      </c>
      <c r="S16">
        <v>1</v>
      </c>
      <c r="T16">
        <v>12</v>
      </c>
      <c r="V16">
        <v>1</v>
      </c>
      <c r="Z16">
        <v>1</v>
      </c>
      <c r="AA16">
        <v>5</v>
      </c>
      <c r="AB16">
        <v>13</v>
      </c>
      <c r="AF16">
        <v>1</v>
      </c>
      <c r="AJ16">
        <v>13</v>
      </c>
      <c r="AK16">
        <v>8</v>
      </c>
      <c r="AL16">
        <v>2</v>
      </c>
      <c r="AQ16" s="24">
        <f t="shared" si="0"/>
        <v>94</v>
      </c>
      <c r="AV16" s="24">
        <f t="shared" si="3"/>
        <v>94</v>
      </c>
      <c r="AY16">
        <v>2</v>
      </c>
      <c r="BD16">
        <v>1</v>
      </c>
      <c r="BG16">
        <v>2</v>
      </c>
      <c r="BJ16">
        <v>1</v>
      </c>
      <c r="BK16" s="18">
        <f t="shared" si="1"/>
        <v>98</v>
      </c>
      <c r="BL16">
        <v>1</v>
      </c>
      <c r="BN16" s="19">
        <f t="shared" si="2"/>
        <v>99</v>
      </c>
    </row>
    <row r="17" spans="1:67" x14ac:dyDescent="0.25">
      <c r="A17" s="26" t="s">
        <v>66</v>
      </c>
      <c r="B17" t="s">
        <v>67</v>
      </c>
      <c r="C17" s="23">
        <v>24.5</v>
      </c>
      <c r="D17" s="23">
        <v>26.5</v>
      </c>
      <c r="E17">
        <v>2</v>
      </c>
      <c r="I17">
        <v>2</v>
      </c>
      <c r="O17">
        <v>1</v>
      </c>
      <c r="S17">
        <v>2</v>
      </c>
      <c r="T17">
        <v>1</v>
      </c>
      <c r="U17">
        <v>1</v>
      </c>
      <c r="X17">
        <v>1</v>
      </c>
      <c r="AA17">
        <v>4</v>
      </c>
      <c r="AB17">
        <v>4</v>
      </c>
      <c r="AF17">
        <v>1</v>
      </c>
      <c r="AG17">
        <v>1</v>
      </c>
      <c r="AJ17">
        <v>8</v>
      </c>
      <c r="AK17">
        <v>3</v>
      </c>
      <c r="AL17">
        <v>1</v>
      </c>
      <c r="AQ17" s="24">
        <f t="shared" si="0"/>
        <v>30</v>
      </c>
      <c r="AV17" s="24">
        <f t="shared" si="3"/>
        <v>30</v>
      </c>
      <c r="BK17" s="18">
        <f t="shared" si="1"/>
        <v>30</v>
      </c>
      <c r="BL17">
        <v>1</v>
      </c>
      <c r="BN17" s="19">
        <f t="shared" si="2"/>
        <v>31</v>
      </c>
    </row>
    <row r="18" spans="1:67" x14ac:dyDescent="0.25">
      <c r="A18" s="26" t="s">
        <v>66</v>
      </c>
      <c r="B18" t="s">
        <v>67</v>
      </c>
      <c r="C18" s="23">
        <v>26.5</v>
      </c>
      <c r="D18" s="23">
        <v>28.5</v>
      </c>
      <c r="E18">
        <v>2</v>
      </c>
      <c r="G18">
        <v>2</v>
      </c>
      <c r="H18">
        <v>1</v>
      </c>
      <c r="I18">
        <v>15</v>
      </c>
      <c r="J18">
        <v>2</v>
      </c>
      <c r="M18">
        <v>1</v>
      </c>
      <c r="P18">
        <v>2</v>
      </c>
      <c r="S18">
        <v>2</v>
      </c>
      <c r="T18">
        <v>2</v>
      </c>
      <c r="U18">
        <v>1</v>
      </c>
      <c r="X18">
        <v>2</v>
      </c>
      <c r="Z18">
        <v>1</v>
      </c>
      <c r="AA18">
        <v>3</v>
      </c>
      <c r="AB18">
        <v>8</v>
      </c>
      <c r="AC18">
        <v>1</v>
      </c>
      <c r="AF18">
        <v>3</v>
      </c>
      <c r="AJ18">
        <v>9</v>
      </c>
      <c r="AK18">
        <v>6</v>
      </c>
      <c r="AQ18" s="24">
        <f t="shared" si="0"/>
        <v>61</v>
      </c>
      <c r="AV18" s="24">
        <f t="shared" si="3"/>
        <v>61</v>
      </c>
      <c r="AZ18">
        <v>1</v>
      </c>
      <c r="BE18">
        <v>1</v>
      </c>
      <c r="BH18">
        <v>1</v>
      </c>
      <c r="BK18" s="18">
        <f t="shared" si="1"/>
        <v>63</v>
      </c>
      <c r="BL18">
        <v>9</v>
      </c>
      <c r="BN18" s="19">
        <f t="shared" si="2"/>
        <v>72</v>
      </c>
    </row>
    <row r="19" spans="1:67" x14ac:dyDescent="0.25">
      <c r="A19" s="26" t="s">
        <v>66</v>
      </c>
      <c r="B19" t="s">
        <v>67</v>
      </c>
      <c r="C19" s="23">
        <v>28.5</v>
      </c>
      <c r="D19" s="23">
        <v>30.5</v>
      </c>
      <c r="E19">
        <v>2</v>
      </c>
      <c r="H19">
        <v>1</v>
      </c>
      <c r="I19">
        <v>9</v>
      </c>
      <c r="T19">
        <v>6</v>
      </c>
      <c r="AA19">
        <v>6</v>
      </c>
      <c r="AB19">
        <v>1</v>
      </c>
      <c r="AC19">
        <v>1</v>
      </c>
      <c r="AJ19">
        <v>1</v>
      </c>
      <c r="AK19">
        <v>1</v>
      </c>
      <c r="AL19">
        <v>1</v>
      </c>
      <c r="AP19" s="29">
        <v>1</v>
      </c>
      <c r="AQ19" s="24">
        <f t="shared" si="0"/>
        <v>28</v>
      </c>
      <c r="AT19">
        <v>1</v>
      </c>
      <c r="AV19" s="24">
        <f t="shared" si="3"/>
        <v>29</v>
      </c>
      <c r="AZ19">
        <v>1</v>
      </c>
      <c r="BA19">
        <v>1</v>
      </c>
      <c r="BK19" s="18">
        <f t="shared" si="1"/>
        <v>29</v>
      </c>
      <c r="BL19">
        <v>11</v>
      </c>
      <c r="BN19" s="19">
        <f t="shared" si="2"/>
        <v>40</v>
      </c>
    </row>
    <row r="20" spans="1:67" x14ac:dyDescent="0.25">
      <c r="A20" s="26" t="s">
        <v>66</v>
      </c>
      <c r="B20" t="s">
        <v>67</v>
      </c>
      <c r="C20" s="23">
        <v>32.5</v>
      </c>
      <c r="D20" s="23">
        <v>34.5</v>
      </c>
      <c r="E20">
        <v>2</v>
      </c>
      <c r="H20">
        <v>2</v>
      </c>
      <c r="I20">
        <v>4</v>
      </c>
      <c r="J20">
        <v>1</v>
      </c>
      <c r="K20">
        <v>1</v>
      </c>
      <c r="L20">
        <v>1</v>
      </c>
      <c r="Q20">
        <v>1</v>
      </c>
      <c r="S20">
        <v>7</v>
      </c>
      <c r="T20">
        <v>5</v>
      </c>
      <c r="X20">
        <v>1</v>
      </c>
      <c r="Z20">
        <v>3</v>
      </c>
      <c r="AA20">
        <v>6</v>
      </c>
      <c r="AB20">
        <v>5</v>
      </c>
      <c r="AF20">
        <v>2</v>
      </c>
      <c r="AG20">
        <v>2</v>
      </c>
      <c r="AJ20">
        <v>1</v>
      </c>
      <c r="AK20">
        <v>1</v>
      </c>
      <c r="AL20">
        <v>1</v>
      </c>
      <c r="AP20" s="29">
        <v>2</v>
      </c>
      <c r="AQ20" s="24">
        <f t="shared" si="0"/>
        <v>46</v>
      </c>
      <c r="AR20">
        <v>2</v>
      </c>
      <c r="AV20" s="24">
        <f t="shared" si="3"/>
        <v>48</v>
      </c>
      <c r="AZ20">
        <v>1</v>
      </c>
      <c r="BE20">
        <v>1</v>
      </c>
      <c r="BI20">
        <v>1</v>
      </c>
      <c r="BJ20">
        <v>1</v>
      </c>
      <c r="BK20" s="18">
        <f t="shared" si="1"/>
        <v>51</v>
      </c>
      <c r="BL20">
        <v>12</v>
      </c>
      <c r="BN20" s="19">
        <f t="shared" si="2"/>
        <v>63</v>
      </c>
      <c r="BO20">
        <v>1</v>
      </c>
    </row>
    <row r="21" spans="1:67" x14ac:dyDescent="0.25">
      <c r="A21" s="26" t="s">
        <v>66</v>
      </c>
      <c r="B21" t="s">
        <v>67</v>
      </c>
      <c r="C21" s="23">
        <v>34.5</v>
      </c>
      <c r="D21" s="23">
        <v>36.5</v>
      </c>
      <c r="E21">
        <v>2</v>
      </c>
      <c r="G21">
        <v>1</v>
      </c>
      <c r="I21">
        <v>3</v>
      </c>
      <c r="M21">
        <v>3</v>
      </c>
      <c r="AA21">
        <v>1</v>
      </c>
      <c r="AB21">
        <v>10</v>
      </c>
      <c r="AC21">
        <v>1</v>
      </c>
      <c r="AJ21">
        <v>1</v>
      </c>
      <c r="AK21">
        <v>1</v>
      </c>
      <c r="AL21">
        <v>1</v>
      </c>
      <c r="AP21" s="29">
        <v>1</v>
      </c>
      <c r="AQ21" s="24">
        <f t="shared" si="0"/>
        <v>23</v>
      </c>
      <c r="AT21">
        <v>1</v>
      </c>
      <c r="AV21" s="24">
        <f t="shared" si="3"/>
        <v>24</v>
      </c>
      <c r="BD21">
        <v>1</v>
      </c>
      <c r="BK21" s="18">
        <f t="shared" si="1"/>
        <v>25</v>
      </c>
      <c r="BL21">
        <v>2</v>
      </c>
      <c r="BN21" s="19">
        <f t="shared" si="2"/>
        <v>27</v>
      </c>
    </row>
    <row r="22" spans="1:67" s="24" customFormat="1" x14ac:dyDescent="0.25">
      <c r="A22" s="26" t="s">
        <v>66</v>
      </c>
      <c r="B22" s="24" t="s">
        <v>67</v>
      </c>
      <c r="C22" s="25">
        <v>36.5</v>
      </c>
      <c r="D22" s="25">
        <v>37</v>
      </c>
      <c r="E22" s="24">
        <v>2</v>
      </c>
      <c r="H22" s="24">
        <v>2</v>
      </c>
      <c r="I22" s="24">
        <v>8</v>
      </c>
      <c r="K22" s="24">
        <v>1</v>
      </c>
      <c r="M22" s="24">
        <v>1</v>
      </c>
      <c r="P22" s="24">
        <v>1</v>
      </c>
      <c r="Q22" s="24">
        <v>1</v>
      </c>
      <c r="S22" s="24">
        <v>6</v>
      </c>
      <c r="T22" s="24">
        <v>4</v>
      </c>
      <c r="Z22" s="24">
        <v>2</v>
      </c>
      <c r="AA22" s="24">
        <v>7</v>
      </c>
      <c r="AB22" s="24">
        <v>3</v>
      </c>
      <c r="AE22" s="24">
        <v>3</v>
      </c>
      <c r="AF22" s="24">
        <v>2</v>
      </c>
      <c r="AH22" s="24">
        <v>2</v>
      </c>
      <c r="AI22" s="24">
        <v>3</v>
      </c>
      <c r="AJ22" s="24">
        <v>4</v>
      </c>
      <c r="AK22" s="24">
        <v>3</v>
      </c>
      <c r="AL22" s="24">
        <v>2</v>
      </c>
      <c r="AM22" s="24">
        <v>1</v>
      </c>
      <c r="AP22" s="28"/>
      <c r="AQ22" s="24">
        <f t="shared" si="0"/>
        <v>56</v>
      </c>
      <c r="AR22" s="24">
        <v>2</v>
      </c>
      <c r="AU22" s="24">
        <v>2</v>
      </c>
      <c r="AV22" s="24">
        <f t="shared" si="3"/>
        <v>60</v>
      </c>
      <c r="BB22" s="24">
        <f>SUM(AW22:BA22)</f>
        <v>0</v>
      </c>
      <c r="BD22" s="24">
        <v>1</v>
      </c>
      <c r="BK22" s="18">
        <f t="shared" si="1"/>
        <v>61</v>
      </c>
      <c r="BL22" s="24">
        <v>35</v>
      </c>
      <c r="BN22" s="19">
        <f t="shared" si="2"/>
        <v>96</v>
      </c>
    </row>
    <row r="23" spans="1:67" s="24" customFormat="1" x14ac:dyDescent="0.25">
      <c r="A23" s="26" t="s">
        <v>66</v>
      </c>
      <c r="B23" s="24" t="s">
        <v>67</v>
      </c>
      <c r="C23" s="25">
        <v>43</v>
      </c>
      <c r="D23" s="25">
        <v>43.5</v>
      </c>
      <c r="E23" s="24">
        <v>2</v>
      </c>
      <c r="I23" s="24">
        <v>1</v>
      </c>
      <c r="J23" s="24">
        <v>1</v>
      </c>
      <c r="S23" s="24">
        <v>12</v>
      </c>
      <c r="T23" s="24">
        <v>2</v>
      </c>
      <c r="Z23" s="24">
        <v>4</v>
      </c>
      <c r="AE23" s="24">
        <v>1</v>
      </c>
      <c r="AF23" s="24">
        <v>4</v>
      </c>
      <c r="AG23" s="24">
        <v>1</v>
      </c>
      <c r="AH23" s="24">
        <v>2</v>
      </c>
      <c r="AJ23" s="24">
        <v>2</v>
      </c>
      <c r="AK23" s="24">
        <v>1</v>
      </c>
      <c r="AL23" s="24">
        <v>2</v>
      </c>
      <c r="AO23" s="24">
        <v>1</v>
      </c>
      <c r="AP23" s="28"/>
      <c r="AQ23" s="24">
        <f t="shared" si="0"/>
        <v>34</v>
      </c>
      <c r="AR23" s="24">
        <v>2</v>
      </c>
      <c r="AV23" s="24">
        <f t="shared" si="3"/>
        <v>36</v>
      </c>
      <c r="BB23" s="24">
        <f>SUM(AW23:BA23)</f>
        <v>0</v>
      </c>
      <c r="BD23" s="24">
        <v>1</v>
      </c>
      <c r="BE23" s="24">
        <v>1</v>
      </c>
      <c r="BF23" s="24">
        <v>1</v>
      </c>
      <c r="BK23" s="18">
        <f t="shared" si="1"/>
        <v>39</v>
      </c>
      <c r="BL23" s="24">
        <v>15</v>
      </c>
      <c r="BM23" s="24">
        <v>1</v>
      </c>
      <c r="BN23" s="19">
        <f t="shared" si="2"/>
        <v>55</v>
      </c>
    </row>
    <row r="24" spans="1:67" s="24" customFormat="1" x14ac:dyDescent="0.25">
      <c r="A24" s="26" t="s">
        <v>66</v>
      </c>
      <c r="B24" s="24" t="s">
        <v>67</v>
      </c>
      <c r="C24" s="25">
        <v>43.5</v>
      </c>
      <c r="D24" s="25">
        <v>44</v>
      </c>
      <c r="E24" s="24">
        <v>3</v>
      </c>
      <c r="I24" s="24">
        <v>3</v>
      </c>
      <c r="Q24" s="24">
        <v>2</v>
      </c>
      <c r="S24" s="24">
        <v>9</v>
      </c>
      <c r="T24" s="24">
        <v>3</v>
      </c>
      <c r="V24" s="24">
        <v>1</v>
      </c>
      <c r="X24" s="24">
        <v>1</v>
      </c>
      <c r="Z24" s="24">
        <v>1</v>
      </c>
      <c r="AA24" s="24">
        <v>3</v>
      </c>
      <c r="AB24" s="24">
        <v>1</v>
      </c>
      <c r="AD24" s="24">
        <v>1</v>
      </c>
      <c r="AE24" s="24">
        <v>2</v>
      </c>
      <c r="AG24" s="24">
        <v>1</v>
      </c>
      <c r="AH24" s="24">
        <v>7</v>
      </c>
      <c r="AJ24" s="24">
        <v>2</v>
      </c>
      <c r="AK24" s="24">
        <v>1</v>
      </c>
      <c r="AL24" s="24">
        <v>3</v>
      </c>
      <c r="AO24" s="24">
        <v>3</v>
      </c>
      <c r="AP24" s="28"/>
      <c r="AQ24" s="24">
        <f t="shared" si="0"/>
        <v>44</v>
      </c>
      <c r="AR24" s="24">
        <v>6</v>
      </c>
      <c r="AT24" s="24">
        <v>2</v>
      </c>
      <c r="AV24" s="24">
        <f t="shared" si="3"/>
        <v>52</v>
      </c>
      <c r="BB24" s="24">
        <f>SUM(AW24:BA24)</f>
        <v>0</v>
      </c>
      <c r="BD24" s="24">
        <v>1</v>
      </c>
      <c r="BE24" s="24">
        <v>1</v>
      </c>
      <c r="BK24" s="18">
        <f t="shared" si="1"/>
        <v>54</v>
      </c>
      <c r="BL24" s="24">
        <v>26</v>
      </c>
      <c r="BN24" s="19">
        <f t="shared" si="2"/>
        <v>80</v>
      </c>
    </row>
    <row r="25" spans="1:67" s="26" customFormat="1" x14ac:dyDescent="0.25">
      <c r="A25" s="26" t="s">
        <v>66</v>
      </c>
      <c r="B25" s="26" t="s">
        <v>67</v>
      </c>
      <c r="C25" s="32">
        <v>30.5</v>
      </c>
      <c r="D25" s="32">
        <v>32.5</v>
      </c>
      <c r="E25" s="26">
        <v>2</v>
      </c>
      <c r="F25" s="26">
        <v>3</v>
      </c>
      <c r="G25" s="26">
        <v>9</v>
      </c>
      <c r="I25" s="26">
        <v>3</v>
      </c>
      <c r="J25" s="26">
        <v>6</v>
      </c>
      <c r="K25" s="26">
        <v>2</v>
      </c>
      <c r="M25" s="26">
        <v>4</v>
      </c>
      <c r="N25" s="26">
        <v>2</v>
      </c>
      <c r="O25" s="26">
        <v>1</v>
      </c>
      <c r="P25" s="26">
        <v>1</v>
      </c>
      <c r="S25" s="26">
        <v>1</v>
      </c>
      <c r="T25" s="26">
        <v>6</v>
      </c>
      <c r="W25" s="26">
        <v>1</v>
      </c>
      <c r="X25" s="26">
        <v>2</v>
      </c>
      <c r="Z25" s="26">
        <v>1</v>
      </c>
      <c r="AA25" s="26">
        <v>14</v>
      </c>
      <c r="AB25" s="26">
        <v>4</v>
      </c>
      <c r="AC25" s="26">
        <v>1</v>
      </c>
      <c r="AE25" s="26">
        <v>3</v>
      </c>
      <c r="AF25" s="26">
        <v>1</v>
      </c>
      <c r="AG25" s="26">
        <v>1</v>
      </c>
      <c r="AJ25" s="26">
        <v>13</v>
      </c>
      <c r="AK25" s="26">
        <v>5</v>
      </c>
      <c r="AL25" s="26">
        <v>2</v>
      </c>
      <c r="AP25" s="33"/>
      <c r="AQ25" s="26">
        <f t="shared" si="0"/>
        <v>86</v>
      </c>
      <c r="AR25" s="26">
        <v>2</v>
      </c>
      <c r="AV25" s="26">
        <f t="shared" si="3"/>
        <v>88</v>
      </c>
      <c r="BD25" s="26">
        <v>1</v>
      </c>
      <c r="BE25" s="26">
        <v>3</v>
      </c>
      <c r="BF25" s="26">
        <v>1</v>
      </c>
      <c r="BG25" s="26">
        <v>3</v>
      </c>
      <c r="BH25" s="26">
        <v>1</v>
      </c>
      <c r="BJ25" s="26">
        <v>2</v>
      </c>
      <c r="BK25" s="26">
        <f t="shared" si="1"/>
        <v>99</v>
      </c>
      <c r="BL25" s="26">
        <v>3</v>
      </c>
      <c r="BN25" s="26">
        <f t="shared" si="2"/>
        <v>102</v>
      </c>
      <c r="BO25" s="26">
        <v>2</v>
      </c>
    </row>
    <row r="44" spans="1:52" s="22" customFormat="1" x14ac:dyDescent="0.25">
      <c r="A44" s="36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30"/>
      <c r="AQ44" s="21"/>
      <c r="AR44" s="21"/>
      <c r="AS44" s="21"/>
      <c r="AT44" s="21"/>
      <c r="AU44" s="21"/>
      <c r="AV44" s="21"/>
      <c r="AW44" s="21"/>
      <c r="AX44" s="21"/>
      <c r="AY44" s="21"/>
      <c r="AZ44" s="21"/>
    </row>
    <row r="45" spans="1:52" s="22" customFormat="1" x14ac:dyDescent="0.25">
      <c r="A45" s="37"/>
      <c r="AP45" s="31"/>
    </row>
    <row r="46" spans="1:52" s="22" customFormat="1" x14ac:dyDescent="0.25">
      <c r="A46" s="37"/>
      <c r="AP46" s="31"/>
    </row>
    <row r="47" spans="1:52" s="22" customFormat="1" x14ac:dyDescent="0.25">
      <c r="A47" s="37"/>
      <c r="AP47" s="31"/>
    </row>
    <row r="50" spans="9:9" x14ac:dyDescent="0.25">
      <c r="I50" s="20"/>
    </row>
  </sheetData>
  <sortState ref="A4:BQ42">
    <sortCondition ref="A4:A42"/>
  </sortState>
  <mergeCells count="2">
    <mergeCell ref="F2:AP2"/>
    <mergeCell ref="AW2:BA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Gruszczyńska</dc:creator>
  <cp:lastModifiedBy>krzypl</cp:lastModifiedBy>
  <dcterms:created xsi:type="dcterms:W3CDTF">2026-06-08T19:57:46Z</dcterms:created>
  <dcterms:modified xsi:type="dcterms:W3CDTF">2026-06-15T07:45:56Z</dcterms:modified>
</cp:coreProperties>
</file>